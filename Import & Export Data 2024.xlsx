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ivot Table 3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<sst xmlns="http://schemas.openxmlformats.org/spreadsheetml/2006/main" count="530" uniqueCount="105">
  <si>
    <t>Sr_No</t>
  </si>
  <si>
    <t>SB No</t>
  </si>
  <si>
    <t>Date</t>
  </si>
  <si>
    <t>HS Code</t>
  </si>
  <si>
    <t>Supplier</t>
  </si>
  <si>
    <t>Buyer</t>
  </si>
  <si>
    <t>Item Commercial Description</t>
  </si>
  <si>
    <t>Unit</t>
  </si>
  <si>
    <t>Qty</t>
  </si>
  <si>
    <t>Rate (FC)</t>
  </si>
  <si>
    <t>Currency</t>
  </si>
  <si>
    <t>FOB Value (₹)</t>
  </si>
  <si>
    <t>Drawback (₹)</t>
  </si>
  <si>
    <t>Consuming Country</t>
  </si>
  <si>
    <t>Buyer Port</t>
  </si>
  <si>
    <t>Supplier Port</t>
  </si>
  <si>
    <t>Supplier Mode</t>
  </si>
  <si>
    <t>Supplier Country</t>
  </si>
  <si>
    <t>Trade detials with Month</t>
  </si>
  <si>
    <t>ARMSTRONG SPINNING MILLS PRIVATE LIMITED</t>
  </si>
  <si>
    <t>EARTHFOAM (PVT) LIMITED</t>
  </si>
  <si>
    <t>100% ORGANIC SILK COTTON / KAPOK FIBER</t>
  </si>
  <si>
    <t>KGS</t>
  </si>
  <si>
    <t>USD</t>
  </si>
  <si>
    <t>SRI LANKA</t>
  </si>
  <si>
    <t>COLOMBO</t>
  </si>
  <si>
    <t>Chennai</t>
  </si>
  <si>
    <t>AIR</t>
  </si>
  <si>
    <t>INDIA</t>
  </si>
  <si>
    <t>September</t>
  </si>
  <si>
    <t>G D J D EXPORTS</t>
  </si>
  <si>
    <t>TO THE ORDER OF BANK</t>
  </si>
  <si>
    <t>100 % COTTON COMBER NOIL. AS PER INV &amp;amp; P</t>
  </si>
  <si>
    <t>Colombo</t>
  </si>
  <si>
    <t>Mundra</t>
  </si>
  <si>
    <t>SEA</t>
  </si>
  <si>
    <t>SRI KARVEMBUKUMARAN YARN PRIVATE LIMITED</t>
  </si>
  <si>
    <t>ASIRILANKA TRADERS--</t>
  </si>
  <si>
    <t>NE 10/1 100% COTTON CARDED GREY YARN</t>
  </si>
  <si>
    <t>Tuticorin</t>
  </si>
  <si>
    <t>NE 16/1 100% COTTON CARDED BLEACHED YARN</t>
  </si>
  <si>
    <t>SUBBURAAJ COTTON MILL PRIVATE LIMITED</t>
  </si>
  <si>
    <t>SOBIYAN TEXTILE,</t>
  </si>
  <si>
    <t>NE 40/1 100 PCT COTTON CAREDED GREY YARN</t>
  </si>
  <si>
    <t>BT IMPEX</t>
  </si>
  <si>
    <t>EXPO DEVI TRADING &amp;amp;CO</t>
  </si>
  <si>
    <t>2/80s COMBED MERCERIZED COTTON DYED YA</t>
  </si>
  <si>
    <t>AMBIKA COTTON MILLS LIMITED</t>
  </si>
  <si>
    <t>NATIONAL DEVELOPMENT BANK PLC</t>
  </si>
  <si>
    <t>100% GREY COTTON YARN NE 7S COMBED YARN</t>
  </si>
  <si>
    <t>LOYAL TEXTILE MILLS LIMITED</t>
  </si>
  <si>
    <t>TEEJAY LANKA PLC</t>
  </si>
  <si>
    <t>100% COTTON GREY YARN- NE:24/1 COMBED FO</t>
  </si>
  <si>
    <t>VARDHMAN TEXTILES LIMITED</t>
  </si>
  <si>
    <t>TO ORDER</t>
  </si>
  <si>
    <t>COMBED COTTON YARN OF COUNTS 40S AND BE</t>
  </si>
  <si>
    <t>COMBED COTTON YARN OF COUNTS 40S AND BEL</t>
  </si>
  <si>
    <t>EVEREADY SPINNING MILLS PRIVATE LIMITED</t>
  </si>
  <si>
    <t>TO THE ORDER OF</t>
  </si>
  <si>
    <t>NE 24/1 100 PCD COTTON COMBED COMPACT CO</t>
  </si>
  <si>
    <t>NE 20/1 100 PCD BCICOTTON COMBED COMPACT</t>
  </si>
  <si>
    <t>NE 30/1 100 PCD COTTON COMBED COMPACT CO</t>
  </si>
  <si>
    <t>NE 16/1 CBD NORMAL /ORGANIC COT HOS COMP</t>
  </si>
  <si>
    <t>THE HSBC BANK</t>
  </si>
  <si>
    <t>100% GREY COTTON YARN NE 16S COMBED YARN</t>
  </si>
  <si>
    <t>NE 24/1 100 PCD BCICOTTON COMBED COMPACT</t>
  </si>
  <si>
    <t>KIKANI EXPORTS PRIVATE LIMITED</t>
  </si>
  <si>
    <t>THE HSBC BANK,TRADE SERVICES</t>
  </si>
  <si>
    <t>NE 20/1 CONTAMINATION CONTROLLED COMBED</t>
  </si>
  <si>
    <t>SUDHAN SPINNING MILLS PRIVATE LIMITED</t>
  </si>
  <si>
    <t>PATHMA WEAVING MILLS PVT, LTD</t>
  </si>
  <si>
    <t>NE 20/1 COMBED KNITTING COMPACT GREY YAR</t>
  </si>
  <si>
    <t>GTN ENTERPRISES LIMITED</t>
  </si>
  <si>
    <t>149.96 KGS OF 100 PCT GREY COTTON YARN O</t>
  </si>
  <si>
    <t>Cochin</t>
  </si>
  <si>
    <t>LAHOTI OVERSEAS LIMITED</t>
  </si>
  <si>
    <t>TO THE ORDER OF SEYLAN BANK PLC</t>
  </si>
  <si>
    <t>100 PERCENT COTTON COMBED GREY YARN ON C</t>
  </si>
  <si>
    <t>Nhava Sheva</t>
  </si>
  <si>
    <t>WINSOME TEXTILE INDUSTRIES LIMITED</t>
  </si>
  <si>
    <t>SAMPATH BANK PLC</t>
  </si>
  <si>
    <t>NE 24/1 100% BCI COTTON COMBED COMPACT D</t>
  </si>
  <si>
    <t>MARAL OVERSEAS LIMITED</t>
  </si>
  <si>
    <t>TO</t>
  </si>
  <si>
    <t>Ne 20/1 100% BCI Combed Cotton Dyed Yarn</t>
  </si>
  <si>
    <t>Ne 20/1 100% BCI Combed Cotton Melange D</t>
  </si>
  <si>
    <t>TO.</t>
  </si>
  <si>
    <t>Ne 16/1 100% Organic (NOP/GOTS) Combed C</t>
  </si>
  <si>
    <t>Bombay</t>
  </si>
  <si>
    <t>COMBED COTTON MELANGE YARN OF COUNTS 40S</t>
  </si>
  <si>
    <t>AMARJOTHI SPINNING MILLS LIMITED</t>
  </si>
  <si>
    <t>OCEAN LANKA (PRIVATE) LTD.,</t>
  </si>
  <si>
    <t>COTTON YARN - 100% COMBED REGENERATED AG</t>
  </si>
  <si>
    <t>Ne 20/1 100% Organic (NOP/GOTS) Combed C</t>
  </si>
  <si>
    <t>NE 20/1 100% BCI COMBED COTTON DYED YARN</t>
  </si>
  <si>
    <t>HATTON NATIONAL BANK PLC</t>
  </si>
  <si>
    <t>NE 20/1 100% COTTON COMBED DYED YARN FOR</t>
  </si>
  <si>
    <t>COUNTA of Unit</t>
  </si>
  <si>
    <t>Grand Total</t>
  </si>
  <si>
    <t>Bombay Total</t>
  </si>
  <si>
    <t>Chennai Total</t>
  </si>
  <si>
    <t>Cochin Total</t>
  </si>
  <si>
    <t>Mundra Total</t>
  </si>
  <si>
    <t>Nhava Sheva Total</t>
  </si>
  <si>
    <t>Tuticorin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</si>
</sst>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 mmm yyyy"/>
    <numFmt numFmtId="165" formatCode="d mmm yyyy"/>
  </numFmts>
  <fonts count="4">
    <font>
      <sz val="10.0"/>
      <color rgb="FF000000"/>
      <name val="Arial"/>
      <scheme val="minor"/>
    </font>
    <font>
      <sz val="12.0"/>
      <color rgb="FFFFFFFF"/>
      <name val="System-ui"/>
    </font>
    <font>
      <color theme="1"/>
      <name val="Arial"/>
      <scheme val="minor"/>
    </font>
    <font>
      <color rgb="FF2C384A"/>
      <name val="System-ui"/>
    </font>
  </fonts>
  <fills count="4">
    <fill>
      <patternFill patternType="none"/>
    </fill>
    <fill>
      <patternFill patternType="lightGray"/>
    </fill>
    <fill>
      <patternFill patternType="solid">
        <fgColor rgb="FF3A7AFE"/>
        <bgColor rgb="FF3A7AFE"/>
      </patternFill>
    </fill>
    <fill>
      <patternFill patternType="solid">
        <fgColor rgb="FFFFFFFF"/>
        <bgColor rgb="FFFFFFFF"/>
      </patternFill>
    </fill>
  </fills>
  <borders count="3">
    <border/>
    <border>
      <top style="thin">
        <color rgb="FF000000"/>
      </top>
      <bottom style="thin">
        <color rgb="FF000000"/>
      </bottom>
    </border>
    <border>
      <left style="thin">
        <color rgb="FFD7DAE3"/>
      </left>
      <right style="thin">
        <color rgb="FFD7DAE3"/>
      </righ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0"/>
    </xf>
    <xf borderId="0" fillId="0" fontId="2" numFmtId="0" xfId="0" applyAlignment="1" applyFont="1">
      <alignment readingOrder="0"/>
    </xf>
    <xf borderId="2" fillId="3" fontId="3" numFmtId="0" xfId="0" applyAlignment="1" applyBorder="1" applyFill="1" applyFont="1">
      <alignment readingOrder="0" shrinkToFit="0" wrapText="0"/>
    </xf>
    <xf borderId="2" fillId="3" fontId="3" numFmtId="164" xfId="0" applyAlignment="1" applyBorder="1" applyFont="1" applyNumberFormat="1">
      <alignment readingOrder="0" shrinkToFit="0" wrapText="0"/>
    </xf>
    <xf borderId="2" fillId="3" fontId="3" numFmtId="165" xfId="0" applyAlignment="1" applyBorder="1" applyFont="1" applyNumberFormat="1">
      <alignment readingOrder="0" shrinkToFit="0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50" sheet="Sheet1"/>
  </cacheSource>
  <cacheFields>
    <cacheField name="Sr_N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</sharedItems>
    </cacheField>
    <cacheField name="SB No" numFmtId="0">
      <sharedItems containsSemiMixedTypes="0" containsString="0" containsNumber="1" containsInteger="1">
        <n v="3840974.0"/>
        <n v="4184323.0"/>
        <n v="3772720.0"/>
        <n v="3802495.0"/>
        <n v="3830814.0"/>
        <n v="3695426.0"/>
        <n v="3669903.0"/>
        <n v="3708261.0"/>
        <n v="3708278.0"/>
        <n v="3713443.0"/>
        <n v="3747870.0"/>
        <n v="3750717.0"/>
        <n v="3750753.0"/>
        <n v="3751054.0"/>
        <n v="3759968.0"/>
        <n v="3804913.0"/>
        <n v="3807326.0"/>
        <n v="3867980.0"/>
        <n v="3867976.0"/>
        <n v="3874138.0"/>
        <n v="3889359.0"/>
        <n v="3928666.0"/>
        <n v="3996791.0"/>
        <n v="3688612.0"/>
        <n v="3733633.0"/>
        <n v="3733634.0"/>
        <n v="3753948.0"/>
        <n v="3762033.0"/>
        <n v="3859815.0"/>
        <n v="3915893.0"/>
        <n v="3949320.0"/>
        <n v="3961510.0"/>
        <n v="3977718.0"/>
      </sharedItems>
    </cacheField>
    <cacheField name="Date" numFmtId="164">
      <sharedItems containsSemiMixedTypes="0" containsDate="1" containsString="0">
        <d v="2024-09-07T00:00:00Z"/>
        <d v="2024-09-20T00:00:00Z"/>
        <d v="2024-09-05T00:00:00Z"/>
        <d v="2024-09-06T00:00:00Z"/>
        <d v="2024-09-02T00:00:00Z"/>
        <d v="2024-09-03T00:00:00Z"/>
        <d v="2024-09-04T00:00:00Z"/>
        <d v="2024-09-09T00:00:00Z"/>
        <d v="2024-09-10T00:00:00Z"/>
        <d v="2024-09-11T00:00:00Z"/>
        <d v="2024-09-13T00:00:00Z"/>
        <d v="2024-09-12T00:00:00Z"/>
      </sharedItems>
    </cacheField>
    <cacheField name="HS Code" numFmtId="0">
      <sharedItems containsSemiMixedTypes="0" containsString="0" containsNumber="1" containsInteger="1">
        <n v="5.2010019E7"/>
        <n v="5.20299E7"/>
        <n v="5.205121E7"/>
        <n v="5.205122E7"/>
        <n v="5.205141E7"/>
        <n v="5.205143E7"/>
        <n v="5.205211E7"/>
        <n v="5.205221E7"/>
        <n v="5.205229E7"/>
      </sharedItems>
    </cacheField>
    <cacheField name="Supplier" numFmtId="0">
      <sharedItems>
        <s v="ARMSTRONG SPINNING MILLS PRIVATE LIMITED"/>
        <s v="G D J D EXPORTS"/>
        <s v="SRI KARVEMBUKUMARAN YARN PRIVATE LIMITED"/>
        <s v="SUBBURAAJ COTTON MILL PRIVATE LIMITED"/>
        <s v="BT IMPEX"/>
        <s v="AMBIKA COTTON MILLS LIMITED"/>
        <s v="LOYAL TEXTILE MILLS LIMITED"/>
        <s v="VARDHMAN TEXTILES LIMITED"/>
        <s v="EVEREADY SPINNING MILLS PRIVATE LIMITED"/>
        <s v="KIKANI EXPORTS PRIVATE LIMITED"/>
        <s v="SUDHAN SPINNING MILLS PRIVATE LIMITED"/>
        <s v="GTN ENTERPRISES LIMITED"/>
        <s v="LAHOTI OVERSEAS LIMITED"/>
        <s v="WINSOME TEXTILE INDUSTRIES LIMITED"/>
        <s v="MARAL OVERSEAS LIMITED"/>
        <s v="AMARJOTHI SPINNING MILLS LIMITED"/>
      </sharedItems>
    </cacheField>
    <cacheField name="Buyer" numFmtId="0">
      <sharedItems>
        <s v="EARTHFOAM (PVT) LIMITED"/>
        <s v="TO THE ORDER OF BANK"/>
        <s v="ASIRILANKA TRADERS--"/>
        <s v="SOBIYAN TEXTILE,"/>
        <s v="EXPO DEVI TRADING &amp;amp;CO"/>
        <s v="NATIONAL DEVELOPMENT BANK PLC"/>
        <s v="TEEJAY LANKA PLC"/>
        <s v="TO ORDER"/>
        <s v="TO THE ORDER OF"/>
        <s v="THE HSBC BANK"/>
        <s v="THE HSBC BANK,TRADE SERVICES"/>
        <s v="PATHMA WEAVING MILLS PVT, LTD"/>
        <s v="TO THE ORDER OF SEYLAN BANK PLC"/>
        <s v="SAMPATH BANK PLC"/>
        <s v="TO"/>
        <s v="TO."/>
        <s v="OCEAN LANKA (PRIVATE) LTD.,"/>
        <s v="HATTON NATIONAL BANK PLC"/>
      </sharedItems>
    </cacheField>
    <cacheField name="Item Commercial Description" numFmtId="0">
      <sharedItems>
        <s v="100% ORGANIC SILK COTTON / KAPOK FIBER"/>
        <s v="100 % COTTON COMBER NOIL. AS PER INV &amp;amp; P"/>
        <s v="NE 10/1 100% COTTON CARDED GREY YARN"/>
        <s v="NE 16/1 100% COTTON CARDED BLEACHED YARN"/>
        <s v="NE 40/1 100 PCT COTTON CAREDED GREY YARN"/>
        <s v="2/80s COMBED MERCERIZED COTTON DYED YA"/>
        <s v="100% GREY COTTON YARN NE 7S COMBED YARN"/>
        <s v="100% COTTON GREY YARN- NE:24/1 COMBED FO"/>
        <s v="COMBED COTTON YARN OF COUNTS 40S AND BE"/>
        <s v="COMBED COTTON YARN OF COUNTS 40S AND BEL"/>
        <s v="NE 24/1 100 PCD COTTON COMBED COMPACT CO"/>
        <s v="NE 20/1 100 PCD BCICOTTON COMBED COMPACT"/>
        <s v="NE 30/1 100 PCD COTTON COMBED COMPACT CO"/>
        <s v="NE 16/1 CBD NORMAL /ORGANIC COT HOS COMP"/>
        <s v="100% GREY COTTON YARN NE 16S COMBED YARN"/>
        <s v="NE 24/1 100 PCD BCICOTTON COMBED COMPACT"/>
        <s v="NE 20/1 CONTAMINATION CONTROLLED COMBED"/>
        <s v="NE 20/1 COMBED KNITTING COMPACT GREY YAR"/>
        <s v="149.96 KGS OF 100 PCT GREY COTTON YARN O"/>
        <s v="100 PERCENT COTTON COMBED GREY YARN ON C"/>
        <s v="NE 24/1 100% BCI COTTON COMBED COMPACT D"/>
        <s v="Ne 20/1 100% BCI Combed Cotton Dyed Yarn"/>
        <s v="Ne 20/1 100% BCI Combed Cotton Melange D"/>
        <s v="Ne 16/1 100% Organic (NOP/GOTS) Combed C"/>
        <s v="COMBED COTTON MELANGE YARN OF COUNTS 40S"/>
        <s v="COTTON YARN - 100% COMBED REGENERATED AG"/>
        <s v="Ne 20/1 100% Organic (NOP/GOTS) Combed C"/>
        <s v="NE 20/1 100% COTTON COMBED DYED YARN FOR"/>
      </sharedItems>
    </cacheField>
    <cacheField name="Unit" numFmtId="0">
      <sharedItems>
        <s v="KGS"/>
      </sharedItems>
    </cacheField>
    <cacheField name="Qty" numFmtId="0">
      <sharedItems containsSemiMixedTypes="0" containsString="0" containsNumber="1">
        <n v="160.0"/>
        <n v="16314.7"/>
        <n v="480.0"/>
        <n v="840.0"/>
        <n v="8550.0"/>
        <n v="1585.12"/>
        <n v="1952.5"/>
        <n v="16176.0"/>
        <n v="8820.0"/>
        <n v="14162.4"/>
        <n v="3705.912"/>
        <n v="496.694"/>
        <n v="765.684"/>
        <n v="17038.08"/>
        <n v="2027.5"/>
        <n v="11088.0"/>
        <n v="750.72"/>
        <n v="2894.08"/>
        <n v="2265.856"/>
        <n v="1722.352"/>
        <n v="5796.0"/>
        <n v="2368.8"/>
        <n v="112.5"/>
        <n v="100.0"/>
        <n v="149.96"/>
        <n v="498.96"/>
        <n v="4012.32"/>
        <n v="11.0"/>
        <n v="2990.5"/>
        <n v="2408.3"/>
        <n v="9.5"/>
        <n v="8.2"/>
        <n v="9.1"/>
        <n v="9.2"/>
        <n v="318.2"/>
        <n v="771.92"/>
        <n v="519.06"/>
        <n v="99.7"/>
        <n v="98.0"/>
        <n v="181.2"/>
        <n v="5291.5"/>
        <n v="523.45"/>
        <n v="831.47"/>
        <n v="30.2"/>
      </sharedItems>
    </cacheField>
    <cacheField name="Rate (FC)" numFmtId="0">
      <sharedItems containsSemiMixedTypes="0" containsString="0" containsNumber="1">
        <n v="5.03"/>
        <n v="1.34"/>
        <n v="1.9"/>
        <n v="1.85"/>
        <n v="3.2"/>
        <n v="8.6"/>
        <n v="3.78"/>
        <n v="3.89"/>
        <n v="3.25"/>
        <n v="4.25"/>
        <n v="4.85001"/>
        <n v="5.85"/>
        <n v="2.85"/>
        <n v="3.9"/>
        <n v="3.0"/>
        <n v="3.43004"/>
        <n v="4.07"/>
        <n v="3.75"/>
        <n v="2.75"/>
        <n v="2.79"/>
        <n v="5.55"/>
        <n v="4.9"/>
        <n v="4.1"/>
        <n v="6.0"/>
        <n v="4.45"/>
        <n v="6.46"/>
        <n v="6.6"/>
        <n v="5.3"/>
        <n v="5.2"/>
        <n v="5.05"/>
        <n v="4.05"/>
      </sharedItems>
    </cacheField>
    <cacheField name="Currency" numFmtId="0">
      <sharedItems>
        <s v="USD"/>
      </sharedItems>
    </cacheField>
    <cacheField name="FOB Value (₹)" numFmtId="0">
      <sharedItems containsSemiMixedTypes="0" containsString="0" containsNumber="1" containsInteger="1">
        <n v="67000.0"/>
        <n v="1761000.0"/>
        <n v="74000.0"/>
        <n v="126000.0"/>
        <n v="2246000.0"/>
        <n v="1134000.0"/>
        <n v="607000.0"/>
        <n v="5194000.0"/>
        <n v="2324000.0"/>
        <n v="3790000.0"/>
        <n v="1286000.0"/>
        <n v="198000.0"/>
        <n v="369000.0"/>
        <n v="3982000.0"/>
        <n v="651000.0"/>
        <n v="2967000.0"/>
        <n v="185000.0"/>
        <n v="676000.0"/>
        <n v="784000.0"/>
        <n v="598000.0"/>
        <n v="1552000.0"/>
        <n v="624000.0"/>
        <n v="32000.0"/>
        <n v="21000.0"/>
        <n v="47000.0"/>
        <n v="113000.0"/>
        <n v="115000.0"/>
        <n v="1843000.0"/>
        <n v="4000.0"/>
        <n v="998000.0"/>
        <n v="809000.0"/>
        <n v="5000.0"/>
        <n v="117000.0"/>
        <n v="411000.0"/>
        <n v="282000.0"/>
        <n v="44000.0"/>
        <n v="42000.0"/>
        <n v="73000.0"/>
        <n v="1775000.0"/>
        <n v="218000.0"/>
        <n v="278000.0"/>
        <n v="12000.0"/>
      </sharedItems>
    </cacheField>
    <cacheField name="Drawback (₹)" numFmtId="0">
      <sharedItems containsSemiMixedTypes="0" containsString="0" containsNumber="1" containsInteger="1">
        <n v="0.0"/>
        <n v="3000.0"/>
        <n v="1000.0"/>
        <n v="45000.0"/>
        <n v="28000.0"/>
        <n v="104000.0"/>
        <n v="26000.0"/>
        <n v="4000.0"/>
        <n v="7000.0"/>
        <n v="80000.0"/>
        <n v="14000.0"/>
        <n v="16000.0"/>
        <n v="12000.0"/>
        <n v="2000.0"/>
        <n v="42000.0"/>
        <n v="23000.0"/>
        <n v="19000.0"/>
        <n v="9000.0"/>
        <n v="6000.0"/>
        <n v="41000.0"/>
        <n v="5000.0"/>
      </sharedItems>
    </cacheField>
    <cacheField name="Consuming Country" numFmtId="0">
      <sharedItems>
        <s v="SRI LANKA"/>
      </sharedItems>
    </cacheField>
    <cacheField name="Buyer Port" numFmtId="0">
      <sharedItems>
        <s v="COLOMBO"/>
      </sharedItems>
    </cacheField>
    <cacheField name="Supplier Port" numFmtId="0">
      <sharedItems>
        <s v="Chennai"/>
        <s v="Mundra"/>
        <s v="Tuticorin"/>
        <s v="Cochin"/>
        <s v="Nhava Sheva"/>
        <s v="Bombay"/>
      </sharedItems>
    </cacheField>
    <cacheField name="Supplier Mode" numFmtId="0">
      <sharedItems>
        <s v="AIR"/>
        <s v="SEA"/>
      </sharedItems>
    </cacheField>
    <cacheField name="Supplier Country" numFmtId="0">
      <sharedItems>
        <s v="INDI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E38" firstHeaderRow="0" firstDataRow="2" firstDataCol="1"/>
  <pivotFields>
    <pivotField name="Sr_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SB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HS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uppli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Buy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Item Commercial 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Unit" dataField="1" compact="0" outline="0" multipleItemSelectionAllowed="1" showAll="0">
      <items>
        <item x="0"/>
        <item t="default"/>
      </items>
    </pivotField>
    <pivotField name="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Rate (FC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Currency" compact="0" outline="0" multipleItemSelectionAllowed="1" showAll="0">
      <items>
        <item x="0"/>
        <item t="default"/>
      </items>
    </pivotField>
    <pivotField name="FOB Value (₹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Drawback (₹)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nsuming Country" compact="0" outline="0" multipleItemSelectionAllowed="1" showAll="0">
      <items>
        <item x="0"/>
        <item t="default"/>
      </items>
    </pivotField>
    <pivotField name="Buyer Port" compact="0" outline="0" multipleItemSelectionAllowed="1" showAll="0">
      <items>
        <item x="0"/>
        <item t="default"/>
      </items>
    </pivotField>
    <pivotField name="Supplier Port" axis="axisRow" compact="0" outline="0" multipleItemSelectionAllowed="1" showAll="0" sortType="ascending">
      <items>
        <item x="5"/>
        <item x="0"/>
        <item x="3"/>
        <item x="1"/>
        <item x="4"/>
        <item x="2"/>
        <item t="default"/>
      </items>
    </pivotField>
    <pivotField name="Supplier Mode" axis="axisCol" compact="0" outline="0" multipleItemSelectionAllowed="1" showAll="0" sortType="ascending">
      <items>
        <item x="0"/>
        <item x="1"/>
        <item t="default"/>
      </items>
    </pivotField>
    <pivotField name="Supplier Country" compact="0" outline="0" multipleItemSelectionAllowed="1" showAll="0">
      <items>
        <item x="0"/>
        <item t="default"/>
      </items>
    </pivotField>
  </pivotFields>
  <rowFields>
    <field x="15"/>
    <field x="12"/>
  </rowFields>
  <colFields>
    <field x="16"/>
  </colFields>
  <dataFields>
    <dataField name="COUNTA of Unit" fld="7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3.5"/>
    <col customWidth="1" min="13" max="13" width="12.88"/>
    <col customWidth="1" min="14" max="14" width="18.63"/>
    <col customWidth="1" min="15" max="15" width="10.5"/>
    <col customWidth="1" min="16" max="16" width="12.5"/>
    <col customWidth="1" min="17" max="17" width="13.88"/>
    <col customWidth="1" min="18" max="18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U1" s="2" t="s">
        <v>18</v>
      </c>
    </row>
    <row r="2">
      <c r="A2" s="3">
        <v>1.0</v>
      </c>
      <c r="B2" s="3">
        <v>3840974.0</v>
      </c>
      <c r="C2" s="4">
        <v>45542.0</v>
      </c>
      <c r="D2" s="3">
        <v>5.2010019E7</v>
      </c>
      <c r="E2" s="3" t="s">
        <v>19</v>
      </c>
      <c r="F2" s="3" t="s">
        <v>20</v>
      </c>
      <c r="G2" s="3" t="s">
        <v>21</v>
      </c>
      <c r="H2" s="3" t="s">
        <v>22</v>
      </c>
      <c r="I2" s="3">
        <v>160.0</v>
      </c>
      <c r="J2" s="3">
        <v>5.03</v>
      </c>
      <c r="K2" s="3" t="s">
        <v>23</v>
      </c>
      <c r="L2" s="3">
        <v>67000.0</v>
      </c>
      <c r="M2" s="3">
        <v>0.0</v>
      </c>
      <c r="N2" s="3" t="s">
        <v>24</v>
      </c>
      <c r="O2" s="3" t="s">
        <v>25</v>
      </c>
      <c r="P2" s="3" t="s">
        <v>26</v>
      </c>
      <c r="Q2" s="3" t="s">
        <v>27</v>
      </c>
      <c r="R2" s="3" t="s">
        <v>28</v>
      </c>
      <c r="T2" s="2" t="s">
        <v>29</v>
      </c>
    </row>
    <row r="3">
      <c r="A3" s="3">
        <v>2.0</v>
      </c>
      <c r="B3" s="3">
        <v>4184323.0</v>
      </c>
      <c r="C3" s="5">
        <v>45555.0</v>
      </c>
      <c r="D3" s="3">
        <v>5.20299E7</v>
      </c>
      <c r="E3" s="3" t="s">
        <v>30</v>
      </c>
      <c r="F3" s="3" t="s">
        <v>31</v>
      </c>
      <c r="G3" s="3" t="s">
        <v>32</v>
      </c>
      <c r="H3" s="3" t="s">
        <v>22</v>
      </c>
      <c r="I3" s="3">
        <v>16314.7</v>
      </c>
      <c r="J3" s="3">
        <v>1.34</v>
      </c>
      <c r="K3" s="3" t="s">
        <v>23</v>
      </c>
      <c r="L3" s="3">
        <v>1761000.0</v>
      </c>
      <c r="M3" s="3">
        <v>3000.0</v>
      </c>
      <c r="N3" s="3" t="s">
        <v>24</v>
      </c>
      <c r="O3" s="3" t="s">
        <v>33</v>
      </c>
      <c r="P3" s="3" t="s">
        <v>34</v>
      </c>
      <c r="Q3" s="3" t="s">
        <v>35</v>
      </c>
      <c r="R3" s="3" t="s">
        <v>28</v>
      </c>
      <c r="T3" s="6" t="str">
        <f>FILTER(A2:R50,SUPPLIER PORT(P2:P50)=BOMBAY,"NO DATA FOUND")</f>
        <v>#ERROR!</v>
      </c>
    </row>
    <row r="4">
      <c r="A4" s="3">
        <v>3.0</v>
      </c>
      <c r="B4" s="3">
        <v>3772720.0</v>
      </c>
      <c r="C4" s="4">
        <v>45540.0</v>
      </c>
      <c r="D4" s="3">
        <v>5.205121E7</v>
      </c>
      <c r="E4" s="3" t="s">
        <v>36</v>
      </c>
      <c r="F4" s="3" t="s">
        <v>37</v>
      </c>
      <c r="G4" s="3" t="s">
        <v>38</v>
      </c>
      <c r="H4" s="3" t="s">
        <v>22</v>
      </c>
      <c r="I4" s="3">
        <v>480.0</v>
      </c>
      <c r="J4" s="3">
        <v>1.9</v>
      </c>
      <c r="K4" s="3" t="s">
        <v>23</v>
      </c>
      <c r="L4" s="3">
        <v>74000.0</v>
      </c>
      <c r="M4" s="3">
        <v>1000.0</v>
      </c>
      <c r="N4" s="3" t="s">
        <v>24</v>
      </c>
      <c r="O4" s="3" t="s">
        <v>33</v>
      </c>
      <c r="P4" s="3" t="s">
        <v>39</v>
      </c>
      <c r="Q4" s="3" t="s">
        <v>35</v>
      </c>
      <c r="R4" s="3" t="s">
        <v>28</v>
      </c>
    </row>
    <row r="5">
      <c r="A5" s="3">
        <v>4.0</v>
      </c>
      <c r="B5" s="3">
        <v>3772720.0</v>
      </c>
      <c r="C5" s="4">
        <v>45540.0</v>
      </c>
      <c r="D5" s="3">
        <v>5.205122E7</v>
      </c>
      <c r="E5" s="3" t="s">
        <v>36</v>
      </c>
      <c r="F5" s="3" t="s">
        <v>37</v>
      </c>
      <c r="G5" s="3" t="s">
        <v>40</v>
      </c>
      <c r="H5" s="3" t="s">
        <v>22</v>
      </c>
      <c r="I5" s="3">
        <v>840.0</v>
      </c>
      <c r="J5" s="3">
        <v>1.85</v>
      </c>
      <c r="K5" s="3" t="s">
        <v>23</v>
      </c>
      <c r="L5" s="3">
        <v>126000.0</v>
      </c>
      <c r="M5" s="3">
        <v>3000.0</v>
      </c>
      <c r="N5" s="3" t="s">
        <v>24</v>
      </c>
      <c r="O5" s="3" t="s">
        <v>33</v>
      </c>
      <c r="P5" s="3" t="s">
        <v>39</v>
      </c>
      <c r="Q5" s="3" t="s">
        <v>35</v>
      </c>
      <c r="R5" s="3" t="s">
        <v>28</v>
      </c>
    </row>
    <row r="6">
      <c r="A6" s="3">
        <v>5.0</v>
      </c>
      <c r="B6" s="3">
        <v>3802495.0</v>
      </c>
      <c r="C6" s="4">
        <v>45541.0</v>
      </c>
      <c r="D6" s="3">
        <v>5.205141E7</v>
      </c>
      <c r="E6" s="3" t="s">
        <v>41</v>
      </c>
      <c r="F6" s="3" t="s">
        <v>42</v>
      </c>
      <c r="G6" s="3" t="s">
        <v>43</v>
      </c>
      <c r="H6" s="3" t="s">
        <v>22</v>
      </c>
      <c r="I6" s="3">
        <v>8550.0</v>
      </c>
      <c r="J6" s="3">
        <v>3.2</v>
      </c>
      <c r="K6" s="3" t="s">
        <v>23</v>
      </c>
      <c r="L6" s="3">
        <v>2246000.0</v>
      </c>
      <c r="M6" s="3">
        <v>45000.0</v>
      </c>
      <c r="N6" s="3" t="s">
        <v>24</v>
      </c>
      <c r="O6" s="3" t="s">
        <v>33</v>
      </c>
      <c r="P6" s="3" t="s">
        <v>39</v>
      </c>
      <c r="Q6" s="3" t="s">
        <v>35</v>
      </c>
      <c r="R6" s="3" t="s">
        <v>28</v>
      </c>
    </row>
    <row r="7">
      <c r="A7" s="3">
        <v>6.0</v>
      </c>
      <c r="B7" s="3">
        <v>3830814.0</v>
      </c>
      <c r="C7" s="4">
        <v>45542.0</v>
      </c>
      <c r="D7" s="3">
        <v>5.205143E7</v>
      </c>
      <c r="E7" s="3" t="s">
        <v>44</v>
      </c>
      <c r="F7" s="3" t="s">
        <v>45</v>
      </c>
      <c r="G7" s="3" t="s">
        <v>46</v>
      </c>
      <c r="H7" s="3" t="s">
        <v>22</v>
      </c>
      <c r="I7" s="3">
        <v>1585.12</v>
      </c>
      <c r="J7" s="3">
        <v>8.6</v>
      </c>
      <c r="K7" s="3" t="s">
        <v>23</v>
      </c>
      <c r="L7" s="3">
        <v>1134000.0</v>
      </c>
      <c r="M7" s="3">
        <v>28000.0</v>
      </c>
      <c r="N7" s="3" t="s">
        <v>24</v>
      </c>
      <c r="O7" s="3" t="s">
        <v>33</v>
      </c>
      <c r="P7" s="3" t="s">
        <v>39</v>
      </c>
      <c r="Q7" s="3" t="s">
        <v>35</v>
      </c>
      <c r="R7" s="3" t="s">
        <v>28</v>
      </c>
    </row>
    <row r="8">
      <c r="A8" s="3">
        <v>7.0</v>
      </c>
      <c r="B8" s="3">
        <v>3695426.0</v>
      </c>
      <c r="C8" s="4">
        <v>45537.0</v>
      </c>
      <c r="D8" s="3">
        <v>5.205211E7</v>
      </c>
      <c r="E8" s="3" t="s">
        <v>47</v>
      </c>
      <c r="F8" s="3" t="s">
        <v>48</v>
      </c>
      <c r="G8" s="3" t="s">
        <v>49</v>
      </c>
      <c r="H8" s="3" t="s">
        <v>22</v>
      </c>
      <c r="I8" s="3">
        <v>1952.5</v>
      </c>
      <c r="J8" s="3">
        <v>3.78</v>
      </c>
      <c r="K8" s="3" t="s">
        <v>23</v>
      </c>
      <c r="L8" s="3">
        <v>607000.0</v>
      </c>
      <c r="M8" s="3">
        <v>0.0</v>
      </c>
      <c r="N8" s="3" t="s">
        <v>24</v>
      </c>
      <c r="O8" s="3" t="s">
        <v>33</v>
      </c>
      <c r="P8" s="3" t="s">
        <v>39</v>
      </c>
      <c r="Q8" s="3" t="s">
        <v>35</v>
      </c>
      <c r="R8" s="3" t="s">
        <v>28</v>
      </c>
    </row>
    <row r="9">
      <c r="A9" s="3">
        <v>8.0</v>
      </c>
      <c r="B9" s="3">
        <v>3669903.0</v>
      </c>
      <c r="C9" s="4">
        <v>45537.0</v>
      </c>
      <c r="D9" s="3">
        <v>5.205221E7</v>
      </c>
      <c r="E9" s="3" t="s">
        <v>50</v>
      </c>
      <c r="F9" s="3" t="s">
        <v>51</v>
      </c>
      <c r="G9" s="3" t="s">
        <v>52</v>
      </c>
      <c r="H9" s="3" t="s">
        <v>22</v>
      </c>
      <c r="I9" s="3">
        <v>16176.0</v>
      </c>
      <c r="J9" s="3">
        <v>3.89</v>
      </c>
      <c r="K9" s="3" t="s">
        <v>23</v>
      </c>
      <c r="L9" s="3">
        <v>5194000.0</v>
      </c>
      <c r="M9" s="3">
        <v>104000.0</v>
      </c>
      <c r="N9" s="3" t="s">
        <v>24</v>
      </c>
      <c r="O9" s="3" t="s">
        <v>33</v>
      </c>
      <c r="P9" s="3" t="s">
        <v>39</v>
      </c>
      <c r="Q9" s="3" t="s">
        <v>35</v>
      </c>
      <c r="R9" s="3" t="s">
        <v>28</v>
      </c>
    </row>
    <row r="10">
      <c r="A10" s="3">
        <v>9.0</v>
      </c>
      <c r="B10" s="3">
        <v>3708261.0</v>
      </c>
      <c r="C10" s="4">
        <v>45538.0</v>
      </c>
      <c r="D10" s="3">
        <v>5.205221E7</v>
      </c>
      <c r="E10" s="3" t="s">
        <v>53</v>
      </c>
      <c r="F10" s="3" t="s">
        <v>54</v>
      </c>
      <c r="G10" s="3" t="s">
        <v>55</v>
      </c>
      <c r="H10" s="3" t="s">
        <v>22</v>
      </c>
      <c r="I10" s="3">
        <v>8820.0</v>
      </c>
      <c r="J10" s="3">
        <v>3.2</v>
      </c>
      <c r="K10" s="3" t="s">
        <v>23</v>
      </c>
      <c r="L10" s="3">
        <v>2324000.0</v>
      </c>
      <c r="M10" s="3">
        <v>0.0</v>
      </c>
      <c r="N10" s="3" t="s">
        <v>24</v>
      </c>
      <c r="O10" s="3" t="s">
        <v>33</v>
      </c>
      <c r="P10" s="3" t="s">
        <v>39</v>
      </c>
      <c r="Q10" s="3" t="s">
        <v>35</v>
      </c>
      <c r="R10" s="3" t="s">
        <v>28</v>
      </c>
    </row>
    <row r="11">
      <c r="A11" s="3">
        <v>10.0</v>
      </c>
      <c r="B11" s="3">
        <v>3708278.0</v>
      </c>
      <c r="C11" s="4">
        <v>45538.0</v>
      </c>
      <c r="D11" s="3">
        <v>5.205221E7</v>
      </c>
      <c r="E11" s="3" t="s">
        <v>53</v>
      </c>
      <c r="F11" s="3" t="s">
        <v>54</v>
      </c>
      <c r="G11" s="3" t="s">
        <v>56</v>
      </c>
      <c r="H11" s="3" t="s">
        <v>22</v>
      </c>
      <c r="I11" s="3">
        <v>14162.4</v>
      </c>
      <c r="J11" s="3">
        <v>3.25</v>
      </c>
      <c r="K11" s="3" t="s">
        <v>23</v>
      </c>
      <c r="L11" s="3">
        <v>3790000.0</v>
      </c>
      <c r="M11" s="3">
        <v>0.0</v>
      </c>
      <c r="N11" s="3" t="s">
        <v>24</v>
      </c>
      <c r="O11" s="3" t="s">
        <v>33</v>
      </c>
      <c r="P11" s="3" t="s">
        <v>39</v>
      </c>
      <c r="Q11" s="3" t="s">
        <v>35</v>
      </c>
      <c r="R11" s="3" t="s">
        <v>28</v>
      </c>
    </row>
    <row r="12">
      <c r="A12" s="3">
        <v>11.0</v>
      </c>
      <c r="B12" s="3">
        <v>3713443.0</v>
      </c>
      <c r="C12" s="4">
        <v>45538.0</v>
      </c>
      <c r="D12" s="3">
        <v>5.205221E7</v>
      </c>
      <c r="E12" s="3" t="s">
        <v>57</v>
      </c>
      <c r="F12" s="3" t="s">
        <v>58</v>
      </c>
      <c r="G12" s="3" t="s">
        <v>59</v>
      </c>
      <c r="H12" s="3" t="s">
        <v>22</v>
      </c>
      <c r="I12" s="3">
        <v>3705.912</v>
      </c>
      <c r="J12" s="3">
        <v>4.25</v>
      </c>
      <c r="K12" s="3" t="s">
        <v>23</v>
      </c>
      <c r="L12" s="3">
        <v>1286000.0</v>
      </c>
      <c r="M12" s="3">
        <v>26000.0</v>
      </c>
      <c r="N12" s="3" t="s">
        <v>24</v>
      </c>
      <c r="O12" s="3" t="s">
        <v>33</v>
      </c>
      <c r="P12" s="3" t="s">
        <v>39</v>
      </c>
      <c r="Q12" s="3" t="s">
        <v>35</v>
      </c>
      <c r="R12" s="3" t="s">
        <v>28</v>
      </c>
    </row>
    <row r="13">
      <c r="A13" s="3">
        <v>12.0</v>
      </c>
      <c r="B13" s="3">
        <v>3713443.0</v>
      </c>
      <c r="C13" s="4">
        <v>45538.0</v>
      </c>
      <c r="D13" s="3">
        <v>5.205221E7</v>
      </c>
      <c r="E13" s="3" t="s">
        <v>57</v>
      </c>
      <c r="F13" s="3" t="s">
        <v>58</v>
      </c>
      <c r="G13" s="3" t="s">
        <v>60</v>
      </c>
      <c r="H13" s="3" t="s">
        <v>22</v>
      </c>
      <c r="I13" s="3">
        <v>496.694</v>
      </c>
      <c r="J13" s="3">
        <v>4.85001</v>
      </c>
      <c r="K13" s="3" t="s">
        <v>23</v>
      </c>
      <c r="L13" s="3">
        <v>198000.0</v>
      </c>
      <c r="M13" s="3">
        <v>4000.0</v>
      </c>
      <c r="N13" s="3" t="s">
        <v>24</v>
      </c>
      <c r="O13" s="3" t="s">
        <v>33</v>
      </c>
      <c r="P13" s="3" t="s">
        <v>39</v>
      </c>
      <c r="Q13" s="3" t="s">
        <v>35</v>
      </c>
      <c r="R13" s="3" t="s">
        <v>28</v>
      </c>
    </row>
    <row r="14">
      <c r="A14" s="3">
        <v>13.0</v>
      </c>
      <c r="B14" s="3">
        <v>3713443.0</v>
      </c>
      <c r="C14" s="4">
        <v>45538.0</v>
      </c>
      <c r="D14" s="3">
        <v>5.205221E7</v>
      </c>
      <c r="E14" s="3" t="s">
        <v>57</v>
      </c>
      <c r="F14" s="3" t="s">
        <v>58</v>
      </c>
      <c r="G14" s="3" t="s">
        <v>61</v>
      </c>
      <c r="H14" s="3" t="s">
        <v>22</v>
      </c>
      <c r="I14" s="3">
        <v>765.684</v>
      </c>
      <c r="J14" s="3">
        <v>5.85</v>
      </c>
      <c r="K14" s="3" t="s">
        <v>23</v>
      </c>
      <c r="L14" s="3">
        <v>369000.0</v>
      </c>
      <c r="M14" s="3">
        <v>7000.0</v>
      </c>
      <c r="N14" s="3" t="s">
        <v>24</v>
      </c>
      <c r="O14" s="3" t="s">
        <v>33</v>
      </c>
      <c r="P14" s="3" t="s">
        <v>39</v>
      </c>
      <c r="Q14" s="3" t="s">
        <v>35</v>
      </c>
      <c r="R14" s="3" t="s">
        <v>28</v>
      </c>
    </row>
    <row r="15">
      <c r="A15" s="3">
        <v>14.0</v>
      </c>
      <c r="B15" s="3">
        <v>3747870.0</v>
      </c>
      <c r="C15" s="4">
        <v>45539.0</v>
      </c>
      <c r="D15" s="3">
        <v>5.205221E7</v>
      </c>
      <c r="E15" s="3" t="s">
        <v>53</v>
      </c>
      <c r="F15" s="3" t="s">
        <v>54</v>
      </c>
      <c r="G15" s="3" t="s">
        <v>62</v>
      </c>
      <c r="H15" s="3" t="s">
        <v>22</v>
      </c>
      <c r="I15" s="3">
        <v>17038.08</v>
      </c>
      <c r="J15" s="3">
        <v>2.85</v>
      </c>
      <c r="K15" s="3" t="s">
        <v>23</v>
      </c>
      <c r="L15" s="3">
        <v>3982000.0</v>
      </c>
      <c r="M15" s="3">
        <v>80000.0</v>
      </c>
      <c r="N15" s="3" t="s">
        <v>24</v>
      </c>
      <c r="O15" s="3" t="s">
        <v>33</v>
      </c>
      <c r="P15" s="3" t="s">
        <v>39</v>
      </c>
      <c r="Q15" s="3" t="s">
        <v>35</v>
      </c>
      <c r="R15" s="3" t="s">
        <v>28</v>
      </c>
    </row>
    <row r="16">
      <c r="A16" s="3">
        <v>15.0</v>
      </c>
      <c r="B16" s="3">
        <v>3750717.0</v>
      </c>
      <c r="C16" s="4">
        <v>45539.0</v>
      </c>
      <c r="D16" s="3">
        <v>5.205221E7</v>
      </c>
      <c r="E16" s="3" t="s">
        <v>47</v>
      </c>
      <c r="F16" s="3" t="s">
        <v>63</v>
      </c>
      <c r="G16" s="3" t="s">
        <v>64</v>
      </c>
      <c r="H16" s="3" t="s">
        <v>22</v>
      </c>
      <c r="I16" s="3">
        <v>2027.5</v>
      </c>
      <c r="J16" s="3">
        <v>3.9</v>
      </c>
      <c r="K16" s="3" t="s">
        <v>23</v>
      </c>
      <c r="L16" s="3">
        <v>651000.0</v>
      </c>
      <c r="M16" s="3">
        <v>0.0</v>
      </c>
      <c r="N16" s="3" t="s">
        <v>24</v>
      </c>
      <c r="O16" s="3" t="s">
        <v>33</v>
      </c>
      <c r="P16" s="3" t="s">
        <v>39</v>
      </c>
      <c r="Q16" s="3" t="s">
        <v>35</v>
      </c>
      <c r="R16" s="3" t="s">
        <v>28</v>
      </c>
    </row>
    <row r="17">
      <c r="A17" s="3">
        <v>16.0</v>
      </c>
      <c r="B17" s="3">
        <v>3750753.0</v>
      </c>
      <c r="C17" s="4">
        <v>45539.0</v>
      </c>
      <c r="D17" s="3">
        <v>5.205221E7</v>
      </c>
      <c r="E17" s="3" t="s">
        <v>53</v>
      </c>
      <c r="F17" s="3" t="s">
        <v>54</v>
      </c>
      <c r="G17" s="3" t="s">
        <v>56</v>
      </c>
      <c r="H17" s="3" t="s">
        <v>22</v>
      </c>
      <c r="I17" s="3">
        <v>11088.0</v>
      </c>
      <c r="J17" s="3">
        <v>3.25</v>
      </c>
      <c r="K17" s="3" t="s">
        <v>23</v>
      </c>
      <c r="L17" s="3">
        <v>2967000.0</v>
      </c>
      <c r="M17" s="3">
        <v>0.0</v>
      </c>
      <c r="N17" s="3" t="s">
        <v>24</v>
      </c>
      <c r="O17" s="3" t="s">
        <v>33</v>
      </c>
      <c r="P17" s="3" t="s">
        <v>39</v>
      </c>
      <c r="Q17" s="3" t="s">
        <v>35</v>
      </c>
      <c r="R17" s="3" t="s">
        <v>28</v>
      </c>
    </row>
    <row r="18">
      <c r="A18" s="3">
        <v>17.0</v>
      </c>
      <c r="B18" s="3">
        <v>3751054.0</v>
      </c>
      <c r="C18" s="4">
        <v>45539.0</v>
      </c>
      <c r="D18" s="3">
        <v>5.205221E7</v>
      </c>
      <c r="E18" s="3" t="s">
        <v>53</v>
      </c>
      <c r="F18" s="3" t="s">
        <v>54</v>
      </c>
      <c r="G18" s="3" t="s">
        <v>56</v>
      </c>
      <c r="H18" s="3" t="s">
        <v>22</v>
      </c>
      <c r="I18" s="3">
        <v>750.72</v>
      </c>
      <c r="J18" s="3">
        <v>3.0</v>
      </c>
      <c r="K18" s="3" t="s">
        <v>23</v>
      </c>
      <c r="L18" s="3">
        <v>185000.0</v>
      </c>
      <c r="M18" s="3">
        <v>0.0</v>
      </c>
      <c r="N18" s="3" t="s">
        <v>24</v>
      </c>
      <c r="O18" s="3" t="s">
        <v>33</v>
      </c>
      <c r="P18" s="3" t="s">
        <v>39</v>
      </c>
      <c r="Q18" s="3" t="s">
        <v>35</v>
      </c>
      <c r="R18" s="3" t="s">
        <v>28</v>
      </c>
    </row>
    <row r="19">
      <c r="A19" s="3">
        <v>18.0</v>
      </c>
      <c r="B19" s="3">
        <v>3759968.0</v>
      </c>
      <c r="C19" s="4">
        <v>45539.0</v>
      </c>
      <c r="D19" s="3">
        <v>5.205221E7</v>
      </c>
      <c r="E19" s="3" t="s">
        <v>53</v>
      </c>
      <c r="F19" s="3" t="s">
        <v>54</v>
      </c>
      <c r="G19" s="3" t="s">
        <v>62</v>
      </c>
      <c r="H19" s="3" t="s">
        <v>22</v>
      </c>
      <c r="I19" s="3">
        <v>2894.08</v>
      </c>
      <c r="J19" s="3">
        <v>2.85</v>
      </c>
      <c r="K19" s="3" t="s">
        <v>23</v>
      </c>
      <c r="L19" s="3">
        <v>676000.0</v>
      </c>
      <c r="M19" s="3">
        <v>14000.0</v>
      </c>
      <c r="N19" s="3" t="s">
        <v>24</v>
      </c>
      <c r="O19" s="3" t="s">
        <v>33</v>
      </c>
      <c r="P19" s="3" t="s">
        <v>39</v>
      </c>
      <c r="Q19" s="3" t="s">
        <v>35</v>
      </c>
      <c r="R19" s="3" t="s">
        <v>28</v>
      </c>
    </row>
    <row r="20">
      <c r="A20" s="3">
        <v>19.0</v>
      </c>
      <c r="B20" s="3">
        <v>3804913.0</v>
      </c>
      <c r="C20" s="4">
        <v>45541.0</v>
      </c>
      <c r="D20" s="3">
        <v>5.205221E7</v>
      </c>
      <c r="E20" s="3" t="s">
        <v>57</v>
      </c>
      <c r="F20" s="3" t="s">
        <v>58</v>
      </c>
      <c r="G20" s="3" t="s">
        <v>59</v>
      </c>
      <c r="H20" s="3" t="s">
        <v>22</v>
      </c>
      <c r="I20" s="3">
        <v>2265.856</v>
      </c>
      <c r="J20" s="3">
        <v>4.25</v>
      </c>
      <c r="K20" s="3" t="s">
        <v>23</v>
      </c>
      <c r="L20" s="3">
        <v>784000.0</v>
      </c>
      <c r="M20" s="3">
        <v>16000.0</v>
      </c>
      <c r="N20" s="3" t="s">
        <v>24</v>
      </c>
      <c r="O20" s="3" t="s">
        <v>33</v>
      </c>
      <c r="P20" s="3" t="s">
        <v>39</v>
      </c>
      <c r="Q20" s="3" t="s">
        <v>35</v>
      </c>
      <c r="R20" s="3" t="s">
        <v>28</v>
      </c>
    </row>
    <row r="21">
      <c r="A21" s="3">
        <v>20.0</v>
      </c>
      <c r="B21" s="3">
        <v>3807326.0</v>
      </c>
      <c r="C21" s="4">
        <v>45541.0</v>
      </c>
      <c r="D21" s="3">
        <v>5.205221E7</v>
      </c>
      <c r="E21" s="3" t="s">
        <v>57</v>
      </c>
      <c r="F21" s="3" t="s">
        <v>58</v>
      </c>
      <c r="G21" s="3" t="s">
        <v>65</v>
      </c>
      <c r="H21" s="3" t="s">
        <v>22</v>
      </c>
      <c r="I21" s="3">
        <v>1722.352</v>
      </c>
      <c r="J21" s="3">
        <v>4.25</v>
      </c>
      <c r="K21" s="3" t="s">
        <v>23</v>
      </c>
      <c r="L21" s="3">
        <v>598000.0</v>
      </c>
      <c r="M21" s="3">
        <v>12000.0</v>
      </c>
      <c r="N21" s="3" t="s">
        <v>24</v>
      </c>
      <c r="O21" s="3" t="s">
        <v>33</v>
      </c>
      <c r="P21" s="3" t="s">
        <v>39</v>
      </c>
      <c r="Q21" s="3" t="s">
        <v>35</v>
      </c>
      <c r="R21" s="3" t="s">
        <v>28</v>
      </c>
    </row>
    <row r="22">
      <c r="A22" s="3">
        <v>21.0</v>
      </c>
      <c r="B22" s="3">
        <v>3867980.0</v>
      </c>
      <c r="C22" s="4">
        <v>45544.0</v>
      </c>
      <c r="D22" s="3">
        <v>5.205221E7</v>
      </c>
      <c r="E22" s="3" t="s">
        <v>53</v>
      </c>
      <c r="F22" s="3" t="s">
        <v>54</v>
      </c>
      <c r="G22" s="3" t="s">
        <v>56</v>
      </c>
      <c r="H22" s="3" t="s">
        <v>22</v>
      </c>
      <c r="I22" s="3">
        <v>5796.0</v>
      </c>
      <c r="J22" s="3">
        <v>3.25</v>
      </c>
      <c r="K22" s="3" t="s">
        <v>23</v>
      </c>
      <c r="L22" s="3">
        <v>1552000.0</v>
      </c>
      <c r="M22" s="3">
        <v>0.0</v>
      </c>
      <c r="N22" s="3" t="s">
        <v>24</v>
      </c>
      <c r="O22" s="3" t="s">
        <v>33</v>
      </c>
      <c r="P22" s="3" t="s">
        <v>39</v>
      </c>
      <c r="Q22" s="3" t="s">
        <v>35</v>
      </c>
      <c r="R22" s="3" t="s">
        <v>28</v>
      </c>
    </row>
    <row r="23">
      <c r="A23" s="3">
        <v>22.0</v>
      </c>
      <c r="B23" s="3">
        <v>3867976.0</v>
      </c>
      <c r="C23" s="4">
        <v>45544.0</v>
      </c>
      <c r="D23" s="3">
        <v>5.205221E7</v>
      </c>
      <c r="E23" s="3" t="s">
        <v>53</v>
      </c>
      <c r="F23" s="3" t="s">
        <v>54</v>
      </c>
      <c r="G23" s="3" t="s">
        <v>56</v>
      </c>
      <c r="H23" s="3" t="s">
        <v>22</v>
      </c>
      <c r="I23" s="3">
        <v>2368.8</v>
      </c>
      <c r="J23" s="3">
        <v>3.2</v>
      </c>
      <c r="K23" s="3" t="s">
        <v>23</v>
      </c>
      <c r="L23" s="3">
        <v>624000.0</v>
      </c>
      <c r="M23" s="3">
        <v>0.0</v>
      </c>
      <c r="N23" s="3" t="s">
        <v>24</v>
      </c>
      <c r="O23" s="3" t="s">
        <v>33</v>
      </c>
      <c r="P23" s="3" t="s">
        <v>39</v>
      </c>
      <c r="Q23" s="3" t="s">
        <v>35</v>
      </c>
      <c r="R23" s="3" t="s">
        <v>28</v>
      </c>
    </row>
    <row r="24">
      <c r="A24" s="3">
        <v>23.0</v>
      </c>
      <c r="B24" s="3">
        <v>3874138.0</v>
      </c>
      <c r="C24" s="4">
        <v>45544.0</v>
      </c>
      <c r="D24" s="3">
        <v>5.205221E7</v>
      </c>
      <c r="E24" s="3" t="s">
        <v>66</v>
      </c>
      <c r="F24" s="3" t="s">
        <v>67</v>
      </c>
      <c r="G24" s="3" t="s">
        <v>68</v>
      </c>
      <c r="H24" s="3" t="s">
        <v>22</v>
      </c>
      <c r="I24" s="3">
        <v>112.5</v>
      </c>
      <c r="J24" s="3">
        <v>3.43004</v>
      </c>
      <c r="K24" s="3" t="s">
        <v>23</v>
      </c>
      <c r="L24" s="3">
        <v>32000.0</v>
      </c>
      <c r="M24" s="3">
        <v>1000.0</v>
      </c>
      <c r="N24" s="3" t="s">
        <v>24</v>
      </c>
      <c r="O24" s="3" t="s">
        <v>33</v>
      </c>
      <c r="P24" s="3" t="s">
        <v>34</v>
      </c>
      <c r="Q24" s="3" t="s">
        <v>35</v>
      </c>
      <c r="R24" s="3" t="s">
        <v>28</v>
      </c>
    </row>
    <row r="25">
      <c r="A25" s="3">
        <v>24.0</v>
      </c>
      <c r="B25" s="3">
        <v>3889359.0</v>
      </c>
      <c r="C25" s="5">
        <v>45545.0</v>
      </c>
      <c r="D25" s="3">
        <v>5.205221E7</v>
      </c>
      <c r="E25" s="3" t="s">
        <v>69</v>
      </c>
      <c r="F25" s="3" t="s">
        <v>70</v>
      </c>
      <c r="G25" s="3" t="s">
        <v>71</v>
      </c>
      <c r="H25" s="3" t="s">
        <v>22</v>
      </c>
      <c r="I25" s="3">
        <v>100.0</v>
      </c>
      <c r="J25" s="3">
        <v>4.07</v>
      </c>
      <c r="K25" s="3" t="s">
        <v>23</v>
      </c>
      <c r="L25" s="3">
        <v>21000.0</v>
      </c>
      <c r="M25" s="3">
        <v>0.0</v>
      </c>
      <c r="N25" s="3" t="s">
        <v>24</v>
      </c>
      <c r="O25" s="3" t="s">
        <v>25</v>
      </c>
      <c r="P25" s="3" t="s">
        <v>26</v>
      </c>
      <c r="Q25" s="3" t="s">
        <v>27</v>
      </c>
      <c r="R25" s="3" t="s">
        <v>28</v>
      </c>
    </row>
    <row r="26">
      <c r="A26" s="3">
        <v>25.0</v>
      </c>
      <c r="B26" s="3">
        <v>3928666.0</v>
      </c>
      <c r="C26" s="5">
        <v>45546.0</v>
      </c>
      <c r="D26" s="3">
        <v>5.205221E7</v>
      </c>
      <c r="E26" s="3" t="s">
        <v>72</v>
      </c>
      <c r="F26" s="3" t="s">
        <v>51</v>
      </c>
      <c r="G26" s="3" t="s">
        <v>73</v>
      </c>
      <c r="H26" s="3" t="s">
        <v>22</v>
      </c>
      <c r="I26" s="3">
        <v>149.96</v>
      </c>
      <c r="J26" s="3">
        <v>3.75</v>
      </c>
      <c r="K26" s="3" t="s">
        <v>23</v>
      </c>
      <c r="L26" s="3">
        <v>47000.0</v>
      </c>
      <c r="M26" s="3">
        <v>1000.0</v>
      </c>
      <c r="N26" s="3" t="s">
        <v>24</v>
      </c>
      <c r="O26" s="3" t="s">
        <v>25</v>
      </c>
      <c r="P26" s="3" t="s">
        <v>74</v>
      </c>
      <c r="Q26" s="3" t="s">
        <v>27</v>
      </c>
      <c r="R26" s="3" t="s">
        <v>28</v>
      </c>
    </row>
    <row r="27">
      <c r="A27" s="3">
        <v>26.0</v>
      </c>
      <c r="B27" s="3">
        <v>3996791.0</v>
      </c>
      <c r="C27" s="5">
        <v>45548.0</v>
      </c>
      <c r="D27" s="3">
        <v>5.205221E7</v>
      </c>
      <c r="E27" s="3" t="s">
        <v>75</v>
      </c>
      <c r="F27" s="3" t="s">
        <v>76</v>
      </c>
      <c r="G27" s="3" t="s">
        <v>77</v>
      </c>
      <c r="H27" s="3" t="s">
        <v>22</v>
      </c>
      <c r="I27" s="3">
        <v>498.96</v>
      </c>
      <c r="J27" s="3">
        <v>2.75</v>
      </c>
      <c r="K27" s="3" t="s">
        <v>23</v>
      </c>
      <c r="L27" s="3">
        <v>113000.0</v>
      </c>
      <c r="M27" s="3">
        <v>2000.0</v>
      </c>
      <c r="N27" s="3" t="s">
        <v>24</v>
      </c>
      <c r="O27" s="3" t="s">
        <v>33</v>
      </c>
      <c r="P27" s="3" t="s">
        <v>78</v>
      </c>
      <c r="Q27" s="3" t="s">
        <v>35</v>
      </c>
      <c r="R27" s="3" t="s">
        <v>28</v>
      </c>
    </row>
    <row r="28">
      <c r="A28" s="3">
        <v>27.0</v>
      </c>
      <c r="B28" s="3">
        <v>3996791.0</v>
      </c>
      <c r="C28" s="5">
        <v>45548.0</v>
      </c>
      <c r="D28" s="3">
        <v>5.205221E7</v>
      </c>
      <c r="E28" s="3" t="s">
        <v>75</v>
      </c>
      <c r="F28" s="3" t="s">
        <v>76</v>
      </c>
      <c r="G28" s="3" t="s">
        <v>77</v>
      </c>
      <c r="H28" s="3" t="s">
        <v>22</v>
      </c>
      <c r="I28" s="3">
        <v>498.96</v>
      </c>
      <c r="J28" s="3">
        <v>2.79</v>
      </c>
      <c r="K28" s="3" t="s">
        <v>23</v>
      </c>
      <c r="L28" s="3">
        <v>115000.0</v>
      </c>
      <c r="M28" s="3">
        <v>2000.0</v>
      </c>
      <c r="N28" s="3" t="s">
        <v>24</v>
      </c>
      <c r="O28" s="3" t="s">
        <v>33</v>
      </c>
      <c r="P28" s="3" t="s">
        <v>78</v>
      </c>
      <c r="Q28" s="3" t="s">
        <v>35</v>
      </c>
      <c r="R28" s="3" t="s">
        <v>28</v>
      </c>
    </row>
    <row r="29">
      <c r="A29" s="3">
        <v>28.0</v>
      </c>
      <c r="B29" s="3">
        <v>3688612.0</v>
      </c>
      <c r="C29" s="4">
        <v>45537.0</v>
      </c>
      <c r="D29" s="3">
        <v>5.205229E7</v>
      </c>
      <c r="E29" s="3" t="s">
        <v>79</v>
      </c>
      <c r="F29" s="3" t="s">
        <v>80</v>
      </c>
      <c r="G29" s="3" t="s">
        <v>81</v>
      </c>
      <c r="H29" s="3" t="s">
        <v>22</v>
      </c>
      <c r="I29" s="3">
        <v>4012.32</v>
      </c>
      <c r="J29" s="3">
        <v>5.55</v>
      </c>
      <c r="K29" s="3" t="s">
        <v>23</v>
      </c>
      <c r="L29" s="3">
        <v>1843000.0</v>
      </c>
      <c r="M29" s="3">
        <v>42000.0</v>
      </c>
      <c r="N29" s="3" t="s">
        <v>24</v>
      </c>
      <c r="O29" s="3" t="s">
        <v>33</v>
      </c>
      <c r="P29" s="3" t="s">
        <v>78</v>
      </c>
      <c r="Q29" s="3" t="s">
        <v>35</v>
      </c>
      <c r="R29" s="3" t="s">
        <v>28</v>
      </c>
    </row>
    <row r="30">
      <c r="A30" s="3">
        <v>29.0</v>
      </c>
      <c r="B30" s="3">
        <v>3733633.0</v>
      </c>
      <c r="C30" s="4">
        <v>45538.0</v>
      </c>
      <c r="D30" s="3">
        <v>5.205229E7</v>
      </c>
      <c r="E30" s="3" t="s">
        <v>82</v>
      </c>
      <c r="F30" s="3" t="s">
        <v>83</v>
      </c>
      <c r="G30" s="3" t="s">
        <v>84</v>
      </c>
      <c r="H30" s="3" t="s">
        <v>22</v>
      </c>
      <c r="I30" s="3">
        <v>11.0</v>
      </c>
      <c r="J30" s="3">
        <v>4.9</v>
      </c>
      <c r="K30" s="3" t="s">
        <v>23</v>
      </c>
      <c r="L30" s="3">
        <v>4000.0</v>
      </c>
      <c r="M30" s="3">
        <v>0.0</v>
      </c>
      <c r="N30" s="3" t="s">
        <v>24</v>
      </c>
      <c r="O30" s="3" t="s">
        <v>33</v>
      </c>
      <c r="P30" s="3" t="s">
        <v>78</v>
      </c>
      <c r="Q30" s="3" t="s">
        <v>35</v>
      </c>
      <c r="R30" s="3" t="s">
        <v>28</v>
      </c>
    </row>
    <row r="31">
      <c r="A31" s="3">
        <v>30.0</v>
      </c>
      <c r="B31" s="3">
        <v>3733633.0</v>
      </c>
      <c r="C31" s="4">
        <v>45538.0</v>
      </c>
      <c r="D31" s="3">
        <v>5.205229E7</v>
      </c>
      <c r="E31" s="3" t="s">
        <v>82</v>
      </c>
      <c r="F31" s="3" t="s">
        <v>83</v>
      </c>
      <c r="G31" s="3" t="s">
        <v>84</v>
      </c>
      <c r="H31" s="3" t="s">
        <v>22</v>
      </c>
      <c r="I31" s="3">
        <v>2990.5</v>
      </c>
      <c r="J31" s="3">
        <v>4.1</v>
      </c>
      <c r="K31" s="3" t="s">
        <v>23</v>
      </c>
      <c r="L31" s="3">
        <v>998000.0</v>
      </c>
      <c r="M31" s="3">
        <v>23000.0</v>
      </c>
      <c r="N31" s="3" t="s">
        <v>24</v>
      </c>
      <c r="O31" s="3" t="s">
        <v>33</v>
      </c>
      <c r="P31" s="3" t="s">
        <v>78</v>
      </c>
      <c r="Q31" s="3" t="s">
        <v>35</v>
      </c>
      <c r="R31" s="3" t="s">
        <v>28</v>
      </c>
    </row>
    <row r="32">
      <c r="A32" s="3">
        <v>31.0</v>
      </c>
      <c r="B32" s="3">
        <v>3733634.0</v>
      </c>
      <c r="C32" s="4">
        <v>45538.0</v>
      </c>
      <c r="D32" s="3">
        <v>5.205229E7</v>
      </c>
      <c r="E32" s="3" t="s">
        <v>82</v>
      </c>
      <c r="F32" s="3" t="s">
        <v>83</v>
      </c>
      <c r="G32" s="3" t="s">
        <v>85</v>
      </c>
      <c r="H32" s="3" t="s">
        <v>22</v>
      </c>
      <c r="I32" s="3">
        <v>2408.3</v>
      </c>
      <c r="J32" s="3">
        <v>4.1</v>
      </c>
      <c r="K32" s="3" t="s">
        <v>23</v>
      </c>
      <c r="L32" s="3">
        <v>809000.0</v>
      </c>
      <c r="M32" s="3">
        <v>19000.0</v>
      </c>
      <c r="N32" s="3" t="s">
        <v>24</v>
      </c>
      <c r="O32" s="3" t="s">
        <v>33</v>
      </c>
      <c r="P32" s="3" t="s">
        <v>78</v>
      </c>
      <c r="Q32" s="3" t="s">
        <v>35</v>
      </c>
      <c r="R32" s="3" t="s">
        <v>28</v>
      </c>
    </row>
    <row r="33">
      <c r="A33" s="3">
        <v>32.0</v>
      </c>
      <c r="B33" s="3">
        <v>3753948.0</v>
      </c>
      <c r="C33" s="4">
        <v>45539.0</v>
      </c>
      <c r="D33" s="3">
        <v>5.205229E7</v>
      </c>
      <c r="E33" s="3" t="s">
        <v>82</v>
      </c>
      <c r="F33" s="3" t="s">
        <v>86</v>
      </c>
      <c r="G33" s="3" t="s">
        <v>87</v>
      </c>
      <c r="H33" s="3" t="s">
        <v>22</v>
      </c>
      <c r="I33" s="3">
        <v>9.5</v>
      </c>
      <c r="J33" s="3">
        <v>6.0</v>
      </c>
      <c r="K33" s="3" t="s">
        <v>23</v>
      </c>
      <c r="L33" s="3">
        <v>5000.0</v>
      </c>
      <c r="M33" s="3">
        <v>0.0</v>
      </c>
      <c r="N33" s="3" t="s">
        <v>24</v>
      </c>
      <c r="O33" s="3" t="s">
        <v>25</v>
      </c>
      <c r="P33" s="3" t="s">
        <v>88</v>
      </c>
      <c r="Q33" s="3" t="s">
        <v>35</v>
      </c>
      <c r="R33" s="3" t="s">
        <v>28</v>
      </c>
    </row>
    <row r="34">
      <c r="A34" s="3">
        <v>33.0</v>
      </c>
      <c r="B34" s="3">
        <v>3753948.0</v>
      </c>
      <c r="C34" s="4">
        <v>45539.0</v>
      </c>
      <c r="D34" s="3">
        <v>5.205229E7</v>
      </c>
      <c r="E34" s="3" t="s">
        <v>82</v>
      </c>
      <c r="F34" s="3" t="s">
        <v>86</v>
      </c>
      <c r="G34" s="3" t="s">
        <v>87</v>
      </c>
      <c r="H34" s="3" t="s">
        <v>22</v>
      </c>
      <c r="I34" s="3">
        <v>8.2</v>
      </c>
      <c r="J34" s="3">
        <v>6.0</v>
      </c>
      <c r="K34" s="3" t="s">
        <v>23</v>
      </c>
      <c r="L34" s="3">
        <v>4000.0</v>
      </c>
      <c r="M34" s="3">
        <v>0.0</v>
      </c>
      <c r="N34" s="3" t="s">
        <v>24</v>
      </c>
      <c r="O34" s="3" t="s">
        <v>25</v>
      </c>
      <c r="P34" s="3" t="s">
        <v>88</v>
      </c>
      <c r="Q34" s="3" t="s">
        <v>35</v>
      </c>
      <c r="R34" s="3" t="s">
        <v>28</v>
      </c>
    </row>
    <row r="35">
      <c r="A35" s="3">
        <v>34.0</v>
      </c>
      <c r="B35" s="3">
        <v>3753948.0</v>
      </c>
      <c r="C35" s="4">
        <v>45539.0</v>
      </c>
      <c r="D35" s="3">
        <v>5.205229E7</v>
      </c>
      <c r="E35" s="3" t="s">
        <v>82</v>
      </c>
      <c r="F35" s="3" t="s">
        <v>86</v>
      </c>
      <c r="G35" s="3" t="s">
        <v>87</v>
      </c>
      <c r="H35" s="3" t="s">
        <v>22</v>
      </c>
      <c r="I35" s="3">
        <v>9.1</v>
      </c>
      <c r="J35" s="3">
        <v>6.0</v>
      </c>
      <c r="K35" s="3" t="s">
        <v>23</v>
      </c>
      <c r="L35" s="3">
        <v>5000.0</v>
      </c>
      <c r="M35" s="3">
        <v>0.0</v>
      </c>
      <c r="N35" s="3" t="s">
        <v>24</v>
      </c>
      <c r="O35" s="3" t="s">
        <v>25</v>
      </c>
      <c r="P35" s="3" t="s">
        <v>88</v>
      </c>
      <c r="Q35" s="3" t="s">
        <v>35</v>
      </c>
      <c r="R35" s="3" t="s">
        <v>28</v>
      </c>
    </row>
    <row r="36">
      <c r="A36" s="3">
        <v>35.0</v>
      </c>
      <c r="B36" s="3">
        <v>3753948.0</v>
      </c>
      <c r="C36" s="4">
        <v>45539.0</v>
      </c>
      <c r="D36" s="3">
        <v>5.205229E7</v>
      </c>
      <c r="E36" s="3" t="s">
        <v>82</v>
      </c>
      <c r="F36" s="3" t="s">
        <v>86</v>
      </c>
      <c r="G36" s="3" t="s">
        <v>87</v>
      </c>
      <c r="H36" s="3" t="s">
        <v>22</v>
      </c>
      <c r="I36" s="3">
        <v>9.2</v>
      </c>
      <c r="J36" s="3">
        <v>6.0</v>
      </c>
      <c r="K36" s="3" t="s">
        <v>23</v>
      </c>
      <c r="L36" s="3">
        <v>5000.0</v>
      </c>
      <c r="M36" s="3">
        <v>0.0</v>
      </c>
      <c r="N36" s="3" t="s">
        <v>24</v>
      </c>
      <c r="O36" s="3" t="s">
        <v>25</v>
      </c>
      <c r="P36" s="3" t="s">
        <v>88</v>
      </c>
      <c r="Q36" s="3" t="s">
        <v>35</v>
      </c>
      <c r="R36" s="3" t="s">
        <v>28</v>
      </c>
    </row>
    <row r="37">
      <c r="A37" s="3">
        <v>36.0</v>
      </c>
      <c r="B37" s="3">
        <v>3762033.0</v>
      </c>
      <c r="C37" s="4">
        <v>45539.0</v>
      </c>
      <c r="D37" s="3">
        <v>5.205229E7</v>
      </c>
      <c r="E37" s="3" t="s">
        <v>53</v>
      </c>
      <c r="F37" s="3" t="s">
        <v>54</v>
      </c>
      <c r="G37" s="3" t="s">
        <v>89</v>
      </c>
      <c r="H37" s="3" t="s">
        <v>22</v>
      </c>
      <c r="I37" s="3">
        <v>318.2</v>
      </c>
      <c r="J37" s="3">
        <v>4.45</v>
      </c>
      <c r="K37" s="3" t="s">
        <v>23</v>
      </c>
      <c r="L37" s="3">
        <v>117000.0</v>
      </c>
      <c r="M37" s="3">
        <v>0.0</v>
      </c>
      <c r="N37" s="3" t="s">
        <v>24</v>
      </c>
      <c r="O37" s="3" t="s">
        <v>33</v>
      </c>
      <c r="P37" s="3" t="s">
        <v>39</v>
      </c>
      <c r="Q37" s="3" t="s">
        <v>35</v>
      </c>
      <c r="R37" s="3" t="s">
        <v>28</v>
      </c>
    </row>
    <row r="38">
      <c r="A38" s="3">
        <v>37.0</v>
      </c>
      <c r="B38" s="3">
        <v>3753948.0</v>
      </c>
      <c r="C38" s="4">
        <v>45539.0</v>
      </c>
      <c r="D38" s="3">
        <v>5.205229E7</v>
      </c>
      <c r="E38" s="3" t="s">
        <v>82</v>
      </c>
      <c r="F38" s="3" t="s">
        <v>86</v>
      </c>
      <c r="G38" s="3" t="s">
        <v>87</v>
      </c>
      <c r="H38" s="3" t="s">
        <v>22</v>
      </c>
      <c r="I38" s="3">
        <v>9.5</v>
      </c>
      <c r="J38" s="3">
        <v>6.0</v>
      </c>
      <c r="K38" s="3" t="s">
        <v>23</v>
      </c>
      <c r="L38" s="3">
        <v>5000.0</v>
      </c>
      <c r="M38" s="3">
        <v>0.0</v>
      </c>
      <c r="N38" s="3" t="s">
        <v>24</v>
      </c>
      <c r="O38" s="3" t="s">
        <v>25</v>
      </c>
      <c r="P38" s="3" t="s">
        <v>88</v>
      </c>
      <c r="Q38" s="3" t="s">
        <v>27</v>
      </c>
      <c r="R38" s="3" t="s">
        <v>28</v>
      </c>
    </row>
    <row r="39">
      <c r="A39" s="3">
        <v>38.0</v>
      </c>
      <c r="B39" s="3">
        <v>3753948.0</v>
      </c>
      <c r="C39" s="4">
        <v>45539.0</v>
      </c>
      <c r="D39" s="3">
        <v>5.205229E7</v>
      </c>
      <c r="E39" s="3" t="s">
        <v>82</v>
      </c>
      <c r="F39" s="3" t="s">
        <v>86</v>
      </c>
      <c r="G39" s="3" t="s">
        <v>87</v>
      </c>
      <c r="H39" s="3" t="s">
        <v>22</v>
      </c>
      <c r="I39" s="3">
        <v>8.2</v>
      </c>
      <c r="J39" s="3">
        <v>6.0</v>
      </c>
      <c r="K39" s="3" t="s">
        <v>23</v>
      </c>
      <c r="L39" s="3">
        <v>4000.0</v>
      </c>
      <c r="M39" s="3">
        <v>0.0</v>
      </c>
      <c r="N39" s="3" t="s">
        <v>24</v>
      </c>
      <c r="O39" s="3" t="s">
        <v>25</v>
      </c>
      <c r="P39" s="3" t="s">
        <v>88</v>
      </c>
      <c r="Q39" s="3" t="s">
        <v>27</v>
      </c>
      <c r="R39" s="3" t="s">
        <v>28</v>
      </c>
    </row>
    <row r="40">
      <c r="A40" s="3">
        <v>39.0</v>
      </c>
      <c r="B40" s="3">
        <v>3753948.0</v>
      </c>
      <c r="C40" s="4">
        <v>45539.0</v>
      </c>
      <c r="D40" s="3">
        <v>5.205229E7</v>
      </c>
      <c r="E40" s="3" t="s">
        <v>82</v>
      </c>
      <c r="F40" s="3" t="s">
        <v>86</v>
      </c>
      <c r="G40" s="3" t="s">
        <v>87</v>
      </c>
      <c r="H40" s="3" t="s">
        <v>22</v>
      </c>
      <c r="I40" s="3">
        <v>9.1</v>
      </c>
      <c r="J40" s="3">
        <v>6.0</v>
      </c>
      <c r="K40" s="3" t="s">
        <v>23</v>
      </c>
      <c r="L40" s="3">
        <v>5000.0</v>
      </c>
      <c r="M40" s="3">
        <v>0.0</v>
      </c>
      <c r="N40" s="3" t="s">
        <v>24</v>
      </c>
      <c r="O40" s="3" t="s">
        <v>25</v>
      </c>
      <c r="P40" s="3" t="s">
        <v>88</v>
      </c>
      <c r="Q40" s="3" t="s">
        <v>27</v>
      </c>
      <c r="R40" s="3" t="s">
        <v>28</v>
      </c>
    </row>
    <row r="41">
      <c r="A41" s="3">
        <v>40.0</v>
      </c>
      <c r="B41" s="3">
        <v>3753948.0</v>
      </c>
      <c r="C41" s="4">
        <v>45539.0</v>
      </c>
      <c r="D41" s="3">
        <v>5.205229E7</v>
      </c>
      <c r="E41" s="3" t="s">
        <v>82</v>
      </c>
      <c r="F41" s="3" t="s">
        <v>86</v>
      </c>
      <c r="G41" s="3" t="s">
        <v>87</v>
      </c>
      <c r="H41" s="3" t="s">
        <v>22</v>
      </c>
      <c r="I41" s="3">
        <v>9.2</v>
      </c>
      <c r="J41" s="3">
        <v>6.0</v>
      </c>
      <c r="K41" s="3" t="s">
        <v>23</v>
      </c>
      <c r="L41" s="3">
        <v>5000.0</v>
      </c>
      <c r="M41" s="3">
        <v>0.0</v>
      </c>
      <c r="N41" s="3" t="s">
        <v>24</v>
      </c>
      <c r="O41" s="3" t="s">
        <v>25</v>
      </c>
      <c r="P41" s="3" t="s">
        <v>88</v>
      </c>
      <c r="Q41" s="3" t="s">
        <v>27</v>
      </c>
      <c r="R41" s="3" t="s">
        <v>28</v>
      </c>
    </row>
    <row r="42">
      <c r="A42" s="3">
        <v>41.0</v>
      </c>
      <c r="B42" s="3">
        <v>3859815.0</v>
      </c>
      <c r="C42" s="4">
        <v>45544.0</v>
      </c>
      <c r="D42" s="3">
        <v>5.205229E7</v>
      </c>
      <c r="E42" s="3" t="s">
        <v>90</v>
      </c>
      <c r="F42" s="3" t="s">
        <v>91</v>
      </c>
      <c r="G42" s="3" t="s">
        <v>92</v>
      </c>
      <c r="H42" s="3" t="s">
        <v>22</v>
      </c>
      <c r="I42" s="3">
        <v>771.92</v>
      </c>
      <c r="J42" s="3">
        <v>6.46</v>
      </c>
      <c r="K42" s="3" t="s">
        <v>23</v>
      </c>
      <c r="L42" s="3">
        <v>411000.0</v>
      </c>
      <c r="M42" s="3">
        <v>9000.0</v>
      </c>
      <c r="N42" s="3" t="s">
        <v>24</v>
      </c>
      <c r="O42" s="3" t="s">
        <v>33</v>
      </c>
      <c r="P42" s="3" t="s">
        <v>39</v>
      </c>
      <c r="Q42" s="3" t="s">
        <v>35</v>
      </c>
      <c r="R42" s="3" t="s">
        <v>28</v>
      </c>
    </row>
    <row r="43">
      <c r="A43" s="3">
        <v>42.0</v>
      </c>
      <c r="B43" s="3">
        <v>3859815.0</v>
      </c>
      <c r="C43" s="4">
        <v>45544.0</v>
      </c>
      <c r="D43" s="3">
        <v>5.205229E7</v>
      </c>
      <c r="E43" s="3" t="s">
        <v>90</v>
      </c>
      <c r="F43" s="3" t="s">
        <v>91</v>
      </c>
      <c r="G43" s="3" t="s">
        <v>92</v>
      </c>
      <c r="H43" s="3" t="s">
        <v>22</v>
      </c>
      <c r="I43" s="3">
        <v>519.06</v>
      </c>
      <c r="J43" s="3">
        <v>6.6</v>
      </c>
      <c r="K43" s="3" t="s">
        <v>23</v>
      </c>
      <c r="L43" s="3">
        <v>282000.0</v>
      </c>
      <c r="M43" s="3">
        <v>6000.0</v>
      </c>
      <c r="N43" s="3" t="s">
        <v>24</v>
      </c>
      <c r="O43" s="3" t="s">
        <v>33</v>
      </c>
      <c r="P43" s="3" t="s">
        <v>39</v>
      </c>
      <c r="Q43" s="3" t="s">
        <v>35</v>
      </c>
      <c r="R43" s="3" t="s">
        <v>28</v>
      </c>
    </row>
    <row r="44">
      <c r="A44" s="3">
        <v>43.0</v>
      </c>
      <c r="B44" s="3">
        <v>3915893.0</v>
      </c>
      <c r="C44" s="5">
        <v>45546.0</v>
      </c>
      <c r="D44" s="3">
        <v>5.205229E7</v>
      </c>
      <c r="E44" s="3" t="s">
        <v>82</v>
      </c>
      <c r="F44" s="3" t="s">
        <v>86</v>
      </c>
      <c r="G44" s="3" t="s">
        <v>93</v>
      </c>
      <c r="H44" s="3" t="s">
        <v>22</v>
      </c>
      <c r="I44" s="3">
        <v>99.7</v>
      </c>
      <c r="J44" s="3">
        <v>5.3</v>
      </c>
      <c r="K44" s="3" t="s">
        <v>23</v>
      </c>
      <c r="L44" s="3">
        <v>44000.0</v>
      </c>
      <c r="M44" s="3">
        <v>1000.0</v>
      </c>
      <c r="N44" s="3" t="s">
        <v>24</v>
      </c>
      <c r="O44" s="3" t="s">
        <v>33</v>
      </c>
      <c r="P44" s="3" t="s">
        <v>78</v>
      </c>
      <c r="Q44" s="3" t="s">
        <v>35</v>
      </c>
      <c r="R44" s="3" t="s">
        <v>28</v>
      </c>
    </row>
    <row r="45">
      <c r="A45" s="3">
        <v>44.0</v>
      </c>
      <c r="B45" s="3">
        <v>3915893.0</v>
      </c>
      <c r="C45" s="5">
        <v>45546.0</v>
      </c>
      <c r="D45" s="3">
        <v>5.205229E7</v>
      </c>
      <c r="E45" s="3" t="s">
        <v>82</v>
      </c>
      <c r="F45" s="3" t="s">
        <v>86</v>
      </c>
      <c r="G45" s="3" t="s">
        <v>93</v>
      </c>
      <c r="H45" s="3" t="s">
        <v>22</v>
      </c>
      <c r="I45" s="3">
        <v>98.0</v>
      </c>
      <c r="J45" s="3">
        <v>5.2</v>
      </c>
      <c r="K45" s="3" t="s">
        <v>23</v>
      </c>
      <c r="L45" s="3">
        <v>42000.0</v>
      </c>
      <c r="M45" s="3">
        <v>1000.0</v>
      </c>
      <c r="N45" s="3" t="s">
        <v>24</v>
      </c>
      <c r="O45" s="3" t="s">
        <v>33</v>
      </c>
      <c r="P45" s="3" t="s">
        <v>78</v>
      </c>
      <c r="Q45" s="3" t="s">
        <v>35</v>
      </c>
      <c r="R45" s="3" t="s">
        <v>28</v>
      </c>
    </row>
    <row r="46">
      <c r="A46" s="3">
        <v>45.0</v>
      </c>
      <c r="B46" s="3">
        <v>3949320.0</v>
      </c>
      <c r="C46" s="5">
        <v>45547.0</v>
      </c>
      <c r="D46" s="3">
        <v>5.205229E7</v>
      </c>
      <c r="E46" s="3" t="s">
        <v>82</v>
      </c>
      <c r="F46" s="3" t="s">
        <v>83</v>
      </c>
      <c r="G46" s="3" t="s">
        <v>94</v>
      </c>
      <c r="H46" s="3" t="s">
        <v>22</v>
      </c>
      <c r="I46" s="3">
        <v>181.2</v>
      </c>
      <c r="J46" s="3">
        <v>4.9</v>
      </c>
      <c r="K46" s="3" t="s">
        <v>23</v>
      </c>
      <c r="L46" s="3">
        <v>73000.0</v>
      </c>
      <c r="M46" s="3">
        <v>2000.0</v>
      </c>
      <c r="N46" s="3" t="s">
        <v>24</v>
      </c>
      <c r="O46" s="3" t="s">
        <v>33</v>
      </c>
      <c r="P46" s="3" t="s">
        <v>78</v>
      </c>
      <c r="Q46" s="3" t="s">
        <v>35</v>
      </c>
      <c r="R46" s="3" t="s">
        <v>28</v>
      </c>
    </row>
    <row r="47">
      <c r="A47" s="3">
        <v>46.0</v>
      </c>
      <c r="B47" s="3">
        <v>3949320.0</v>
      </c>
      <c r="C47" s="5">
        <v>45547.0</v>
      </c>
      <c r="D47" s="3">
        <v>5.205229E7</v>
      </c>
      <c r="E47" s="3" t="s">
        <v>82</v>
      </c>
      <c r="F47" s="3" t="s">
        <v>83</v>
      </c>
      <c r="G47" s="3" t="s">
        <v>94</v>
      </c>
      <c r="H47" s="3" t="s">
        <v>22</v>
      </c>
      <c r="I47" s="3">
        <v>5291.5</v>
      </c>
      <c r="J47" s="3">
        <v>4.1</v>
      </c>
      <c r="K47" s="3" t="s">
        <v>23</v>
      </c>
      <c r="L47" s="3">
        <v>1775000.0</v>
      </c>
      <c r="M47" s="3">
        <v>41000.0</v>
      </c>
      <c r="N47" s="3" t="s">
        <v>24</v>
      </c>
      <c r="O47" s="3" t="s">
        <v>33</v>
      </c>
      <c r="P47" s="3" t="s">
        <v>78</v>
      </c>
      <c r="Q47" s="3" t="s">
        <v>35</v>
      </c>
      <c r="R47" s="3" t="s">
        <v>28</v>
      </c>
    </row>
    <row r="48">
      <c r="A48" s="3">
        <v>47.0</v>
      </c>
      <c r="B48" s="3">
        <v>3961510.0</v>
      </c>
      <c r="C48" s="5">
        <v>45547.0</v>
      </c>
      <c r="D48" s="3">
        <v>5.205229E7</v>
      </c>
      <c r="E48" s="3" t="s">
        <v>79</v>
      </c>
      <c r="F48" s="3" t="s">
        <v>95</v>
      </c>
      <c r="G48" s="3" t="s">
        <v>96</v>
      </c>
      <c r="H48" s="3" t="s">
        <v>22</v>
      </c>
      <c r="I48" s="3">
        <v>523.45</v>
      </c>
      <c r="J48" s="3">
        <v>5.05</v>
      </c>
      <c r="K48" s="3" t="s">
        <v>23</v>
      </c>
      <c r="L48" s="3">
        <v>218000.0</v>
      </c>
      <c r="M48" s="3">
        <v>5000.0</v>
      </c>
      <c r="N48" s="3" t="s">
        <v>24</v>
      </c>
      <c r="O48" s="3" t="s">
        <v>33</v>
      </c>
      <c r="P48" s="3" t="s">
        <v>78</v>
      </c>
      <c r="Q48" s="3" t="s">
        <v>35</v>
      </c>
      <c r="R48" s="3" t="s">
        <v>28</v>
      </c>
    </row>
    <row r="49">
      <c r="A49" s="3">
        <v>48.0</v>
      </c>
      <c r="B49" s="3">
        <v>3961510.0</v>
      </c>
      <c r="C49" s="5">
        <v>45547.0</v>
      </c>
      <c r="D49" s="3">
        <v>5.205229E7</v>
      </c>
      <c r="E49" s="3" t="s">
        <v>79</v>
      </c>
      <c r="F49" s="3" t="s">
        <v>95</v>
      </c>
      <c r="G49" s="3" t="s">
        <v>96</v>
      </c>
      <c r="H49" s="3" t="s">
        <v>22</v>
      </c>
      <c r="I49" s="3">
        <v>831.47</v>
      </c>
      <c r="J49" s="3">
        <v>4.05</v>
      </c>
      <c r="K49" s="3" t="s">
        <v>23</v>
      </c>
      <c r="L49" s="3">
        <v>278000.0</v>
      </c>
      <c r="M49" s="3">
        <v>6000.0</v>
      </c>
      <c r="N49" s="3" t="s">
        <v>24</v>
      </c>
      <c r="O49" s="3" t="s">
        <v>33</v>
      </c>
      <c r="P49" s="3" t="s">
        <v>78</v>
      </c>
      <c r="Q49" s="3" t="s">
        <v>35</v>
      </c>
      <c r="R49" s="3" t="s">
        <v>28</v>
      </c>
    </row>
    <row r="50">
      <c r="A50" s="3">
        <v>49.0</v>
      </c>
      <c r="B50" s="3">
        <v>3977718.0</v>
      </c>
      <c r="C50" s="5">
        <v>45548.0</v>
      </c>
      <c r="D50" s="3">
        <v>5.205229E7</v>
      </c>
      <c r="E50" s="3" t="s">
        <v>82</v>
      </c>
      <c r="F50" s="3" t="s">
        <v>83</v>
      </c>
      <c r="G50" s="3" t="s">
        <v>84</v>
      </c>
      <c r="H50" s="3" t="s">
        <v>22</v>
      </c>
      <c r="I50" s="3">
        <v>30.2</v>
      </c>
      <c r="J50" s="3">
        <v>4.9</v>
      </c>
      <c r="K50" s="3" t="s">
        <v>23</v>
      </c>
      <c r="L50" s="3">
        <v>12000.0</v>
      </c>
      <c r="M50" s="3">
        <v>0.0</v>
      </c>
      <c r="N50" s="3" t="s">
        <v>24</v>
      </c>
      <c r="O50" s="3" t="s">
        <v>25</v>
      </c>
      <c r="P50" s="3" t="s">
        <v>88</v>
      </c>
      <c r="Q50" s="3" t="s">
        <v>35</v>
      </c>
      <c r="R50" s="3" t="s">
        <v>28</v>
      </c>
    </row>
    <row r="51">
      <c r="A51" s="3"/>
      <c r="B51" s="3"/>
      <c r="C51" s="5"/>
      <c r="D51" s="3"/>
      <c r="E51" s="3"/>
      <c r="F51" s="3"/>
      <c r="G5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</sheetData>
  <drawing r:id="rId2"/>
</worksheet>
</file>